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f2903faddfa291d/Área de Trabalho/"/>
    </mc:Choice>
  </mc:AlternateContent>
  <xr:revisionPtr revIDLastSave="1" documentId="8_{53C67342-0597-4F5E-9863-A9B281CEC76B}" xr6:coauthVersionLast="47" xr6:coauthVersionMax="47" xr10:uidLastSave="{87DE5EE8-9C00-411A-BA1F-60627086D36C}"/>
  <bookViews>
    <workbookView xWindow="-120" yWindow="-120" windowWidth="29040" windowHeight="15720" xr2:uid="{00000000-000D-0000-FFFF-FFFF00000000}"/>
  </bookViews>
  <sheets>
    <sheet name="Painel" sheetId="1" r:id="rId1"/>
    <sheet name="Apoio" sheetId="2" r:id="rId2"/>
  </sheets>
  <definedNames>
    <definedName name="aporte">Painel!$C$9</definedName>
    <definedName name="percentual_aporte">Painel!$C$8</definedName>
    <definedName name="perfil">Painel!$C$12</definedName>
    <definedName name="salario">Painel!$C$7</definedName>
    <definedName name="taxa_dividendos">Painel!$C$11</definedName>
    <definedName name="taxa_mensal">Painel!$C$10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D6" i="2"/>
  <c r="D5" i="2"/>
  <c r="D4" i="2"/>
  <c r="D3" i="2"/>
  <c r="C21" i="1"/>
  <c r="C20" i="1"/>
  <c r="C19" i="1"/>
  <c r="C18" i="1"/>
  <c r="C17" i="1"/>
  <c r="C9" i="1"/>
  <c r="E8" i="1" s="1"/>
  <c r="D20" i="1" l="1"/>
  <c r="D18" i="1"/>
  <c r="D19" i="1"/>
  <c r="G8" i="1"/>
  <c r="D17" i="1"/>
  <c r="C29" i="1"/>
  <c r="D29" i="1" s="1"/>
  <c r="E18" i="1"/>
  <c r="G18" i="1" s="1"/>
  <c r="H18" i="1" s="1"/>
  <c r="E20" i="1"/>
  <c r="G20" i="1" s="1"/>
  <c r="H20" i="1" s="1"/>
  <c r="E21" i="1"/>
  <c r="G21" i="1" s="1"/>
  <c r="H21" i="1" s="1"/>
  <c r="C27" i="1"/>
  <c r="D27" i="1" s="1"/>
  <c r="C28" i="1"/>
  <c r="D28" i="1" s="1"/>
  <c r="E17" i="1"/>
  <c r="G17" i="1" s="1"/>
  <c r="H17" i="1" s="1"/>
  <c r="E19" i="1"/>
  <c r="D21" i="1"/>
  <c r="F20" i="1" l="1"/>
  <c r="F18" i="1"/>
  <c r="F17" i="1"/>
  <c r="F21" i="1"/>
  <c r="G19" i="1"/>
  <c r="H19" i="1" s="1"/>
  <c r="F19" i="1"/>
</calcChain>
</file>

<file path=xl/sharedStrings.xml><?xml version="1.0" encoding="utf-8"?>
<sst xmlns="http://schemas.openxmlformats.org/spreadsheetml/2006/main" count="72" uniqueCount="33">
  <si>
    <t>SEU PLANO EM NÚMEROS</t>
  </si>
  <si>
    <t>Salário mensal</t>
  </si>
  <si>
    <t>APORTE MENSAL</t>
  </si>
  <si>
    <t>DIVIDENDOS/MÊS EM 10 ANOS</t>
  </si>
  <si>
    <t>Aporte sugerido (% do salário)</t>
  </si>
  <si>
    <t>Aporte mensal</t>
  </si>
  <si>
    <t>Rendimento mensal da carteira</t>
  </si>
  <si>
    <t>Taxa de dividendos mensal</t>
  </si>
  <si>
    <t>Perfil de investidor</t>
  </si>
  <si>
    <t>Moderado</t>
  </si>
  <si>
    <t>PROJEÇÃO DE PATRIMÔNIO E DIVIDENDOS</t>
  </si>
  <si>
    <t>Prazo (anos)</t>
  </si>
  <si>
    <t>Meses</t>
  </si>
  <si>
    <t>Total aportado</t>
  </si>
  <si>
    <t>Patrimônio acumulado</t>
  </si>
  <si>
    <t>Ganho estimado</t>
  </si>
  <si>
    <t>Dividendos/mês</t>
  </si>
  <si>
    <t>Dividendos/ano</t>
  </si>
  <si>
    <t>DISTRIBUIÇÃO ILUSTRATIVA POR PERFIL</t>
  </si>
  <si>
    <t>Tipo de fundo</t>
  </si>
  <si>
    <t>Percentual</t>
  </si>
  <si>
    <t>Aporte estimado</t>
  </si>
  <si>
    <t>Renda fixa</t>
  </si>
  <si>
    <t>FIIs</t>
  </si>
  <si>
    <t>Ações/ETFs</t>
  </si>
  <si>
    <t>PERFIS E ALOCAÇÕES</t>
  </si>
  <si>
    <t>BUSCA POR CHAVE COMPOSTA</t>
  </si>
  <si>
    <t>Perfil</t>
  </si>
  <si>
    <t>Chave composta</t>
  </si>
  <si>
    <t>Conservador</t>
  </si>
  <si>
    <t>Arrojado</t>
  </si>
  <si>
    <t>Insira aqui seu planejamento</t>
  </si>
  <si>
    <t>SEUS INVESTIMENTOS PLANEJADOS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</si>
</sst>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4" x14ac:knownFonts="1">
    <font>
      <sz val="11"/>
      <color theme="1"/>
      <name val="Calibri"/>
      <family val="2"/>
      <scheme val="minor"/>
    </font>
    <font>
      <i/>
      <sz val="10"/>
      <color rgb="FF44546A"/>
      <name val="Calibri"/>
    </font>
    <font>
      <sz val="10"/>
      <color rgb="FF44546A"/>
      <name val="Calibri"/>
    </font>
    <font>
      <b/>
      <sz val="11"/>
      <color rgb="FF44546A"/>
      <name val="Calibri"/>
    </font>
    <font>
      <b/>
      <sz val="9"/>
      <color rgb="FF17365D"/>
      <name val="Calibri"/>
    </font>
    <font>
      <b/>
      <sz val="16"/>
      <color rgb="FF17365D"/>
      <name val="Calibri"/>
    </font>
    <font>
      <b/>
      <sz val="11"/>
      <color rgb="FF17365D"/>
      <name val="Calibri"/>
    </font>
    <font>
      <sz val="11"/>
      <color rgb="FF555555"/>
      <name val="Calibri"/>
    </font>
    <font>
      <i/>
      <sz val="11"/>
      <color rgb="FF44546A"/>
      <name val="Calibri"/>
    </font>
    <font>
      <b/>
      <sz val="11"/>
      <color rgb="FFFFFFFF"/>
      <name val="Century Gothic"/>
      <family val="2"/>
    </font>
    <font>
      <sz val="11"/>
      <color theme="1"/>
      <name val="Century Gothic"/>
      <family val="2"/>
    </font>
    <font>
      <b/>
      <sz val="9"/>
      <color rgb="FFFFFFFF"/>
      <name val="Century Gothic"/>
      <family val="2"/>
    </font>
    <font>
      <b/>
      <sz val="12"/>
      <color rgb="FFFFFFFF"/>
      <name val="Century Gothic"/>
      <family val="2"/>
    </font>
    <font>
      <b/>
      <sz val="19"/>
      <color rgb="FFFFFFFF"/>
      <name val="MS Gothic"/>
      <family val="3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0" borderId="0" xfId="0" applyFont="1"/>
    <xf numFmtId="0" fontId="1" fillId="0" borderId="0" xfId="0" applyFont="1"/>
    <xf numFmtId="0" fontId="0" fillId="0" borderId="0" xfId="0"/>
    <xf numFmtId="0" fontId="0" fillId="8" borderId="0" xfId="0" applyFill="1"/>
    <xf numFmtId="0" fontId="8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9" fillId="10" borderId="0" xfId="0" applyFont="1" applyFill="1"/>
    <xf numFmtId="0" fontId="10" fillId="10" borderId="0" xfId="0" applyFont="1" applyFill="1"/>
    <xf numFmtId="0" fontId="9" fillId="9" borderId="0" xfId="0" applyFont="1" applyFill="1" applyAlignment="1">
      <alignment horizontal="center" vertical="center"/>
    </xf>
    <xf numFmtId="0" fontId="10" fillId="9" borderId="0" xfId="0" applyFont="1" applyFill="1"/>
    <xf numFmtId="0" fontId="11" fillId="2" borderId="0" xfId="0" applyFont="1" applyFill="1" applyAlignment="1">
      <alignment horizontal="center" vertical="center" wrapText="1"/>
    </xf>
    <xf numFmtId="0" fontId="12" fillId="3" borderId="0" xfId="0" applyFont="1" applyFill="1"/>
    <xf numFmtId="0" fontId="10" fillId="3" borderId="0" xfId="0" applyFont="1" applyFill="1"/>
    <xf numFmtId="0" fontId="9" fillId="3" borderId="0" xfId="0" applyFont="1" applyFill="1"/>
    <xf numFmtId="0" fontId="10" fillId="0" borderId="0" xfId="0" applyFont="1"/>
    <xf numFmtId="0" fontId="9" fillId="2" borderId="1" xfId="0" applyFont="1" applyFill="1" applyBorder="1"/>
    <xf numFmtId="0" fontId="10" fillId="0" borderId="1" xfId="0" applyFont="1" applyBorder="1"/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9" fontId="0" fillId="5" borderId="1" xfId="0" applyNumberFormat="1" applyFill="1" applyBorder="1" applyAlignment="1">
      <alignment horizontal="center" vertical="center"/>
    </xf>
    <xf numFmtId="8" fontId="0" fillId="5" borderId="1" xfId="0" applyNumberForma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8" fontId="7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8" fontId="5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2" fillId="0" borderId="1" xfId="0" applyFont="1" applyBorder="1" applyAlignment="1">
      <alignment vertical="center"/>
    </xf>
    <xf numFmtId="8" fontId="3" fillId="4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8" fontId="3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0"/>
  <sheetViews>
    <sheetView showGridLines="0" tabSelected="1" workbookViewId="0">
      <pane xSplit="1" ySplit="15" topLeftCell="B16" activePane="bottomRight" state="frozen"/>
      <selection pane="topRight"/>
      <selection pane="bottomLeft"/>
      <selection pane="bottomRight" activeCell="H21" sqref="B16:H21"/>
    </sheetView>
  </sheetViews>
  <sheetFormatPr defaultRowHeight="15" x14ac:dyDescent="0.25"/>
  <cols>
    <col min="1" max="1" width="3" customWidth="1"/>
    <col min="2" max="2" width="30" customWidth="1"/>
    <col min="3" max="4" width="18" customWidth="1"/>
    <col min="5" max="8" width="20" customWidth="1"/>
    <col min="9" max="9" width="3" customWidth="1"/>
  </cols>
  <sheetData>
    <row r="2" spans="2:8" ht="27" customHeight="1" x14ac:dyDescent="0.25">
      <c r="B2" s="39" t="s">
        <v>32</v>
      </c>
      <c r="C2" s="4"/>
      <c r="D2" s="4"/>
      <c r="E2" s="4"/>
      <c r="F2" s="4"/>
      <c r="G2" s="4"/>
      <c r="H2" s="4"/>
    </row>
    <row r="3" spans="2:8" ht="21.95" customHeight="1" x14ac:dyDescent="0.25">
      <c r="B3" s="4"/>
      <c r="C3" s="4"/>
      <c r="D3" s="4"/>
      <c r="E3" s="4"/>
      <c r="F3" s="4"/>
      <c r="G3" s="4"/>
      <c r="H3" s="4"/>
    </row>
    <row r="4" spans="2:8" x14ac:dyDescent="0.25">
      <c r="B4" s="2"/>
      <c r="C4" s="3"/>
      <c r="D4" s="3"/>
      <c r="E4" s="3"/>
      <c r="F4" s="3"/>
      <c r="G4" s="3"/>
      <c r="H4" s="3"/>
    </row>
    <row r="6" spans="2:8" ht="16.5" x14ac:dyDescent="0.3">
      <c r="B6" s="7" t="s">
        <v>31</v>
      </c>
      <c r="C6" s="8"/>
      <c r="E6" s="9" t="s">
        <v>0</v>
      </c>
      <c r="F6" s="10"/>
      <c r="G6" s="10"/>
      <c r="H6" s="10"/>
    </row>
    <row r="7" spans="2:8" ht="23.1" customHeight="1" x14ac:dyDescent="0.25">
      <c r="B7" s="34" t="s">
        <v>1</v>
      </c>
      <c r="C7" s="35">
        <v>1000</v>
      </c>
      <c r="E7" s="30" t="s">
        <v>2</v>
      </c>
      <c r="F7" s="31"/>
      <c r="G7" s="30" t="s">
        <v>3</v>
      </c>
      <c r="H7" s="31"/>
    </row>
    <row r="8" spans="2:8" ht="23.1" customHeight="1" x14ac:dyDescent="0.25">
      <c r="B8" s="34" t="s">
        <v>4</v>
      </c>
      <c r="C8" s="36">
        <v>0.3</v>
      </c>
      <c r="E8" s="32">
        <f>aporte</f>
        <v>300</v>
      </c>
      <c r="F8" s="33"/>
      <c r="G8" s="32">
        <f>FV(taxa_mensal,120,-aporte,0,0)*taxa_dividendos</f>
        <v>336.75386939516369</v>
      </c>
      <c r="H8" s="33"/>
    </row>
    <row r="9" spans="2:8" ht="23.1" customHeight="1" x14ac:dyDescent="0.25">
      <c r="B9" s="34" t="s">
        <v>5</v>
      </c>
      <c r="C9" s="37">
        <f>salario*percentual_aporte</f>
        <v>300</v>
      </c>
      <c r="E9" s="33"/>
      <c r="F9" s="33"/>
      <c r="G9" s="33"/>
      <c r="H9" s="33"/>
    </row>
    <row r="10" spans="2:8" ht="23.1" customHeight="1" x14ac:dyDescent="0.25">
      <c r="B10" s="34" t="s">
        <v>6</v>
      </c>
      <c r="C10" s="36">
        <v>7.0000000000000001E-3</v>
      </c>
    </row>
    <row r="11" spans="2:8" ht="23.1" customHeight="1" x14ac:dyDescent="0.25">
      <c r="B11" s="34" t="s">
        <v>7</v>
      </c>
      <c r="C11" s="36">
        <v>6.0000000000000001E-3</v>
      </c>
    </row>
    <row r="12" spans="2:8" ht="23.1" customHeight="1" x14ac:dyDescent="0.25">
      <c r="B12" s="34" t="s">
        <v>8</v>
      </c>
      <c r="C12" s="38" t="s">
        <v>9</v>
      </c>
    </row>
    <row r="15" spans="2:8" ht="16.5" x14ac:dyDescent="0.3">
      <c r="B15" s="12" t="s">
        <v>10</v>
      </c>
      <c r="C15" s="13"/>
      <c r="D15" s="13"/>
      <c r="E15" s="13"/>
      <c r="F15" s="13"/>
      <c r="G15" s="13"/>
      <c r="H15" s="13"/>
    </row>
    <row r="16" spans="2:8" ht="35.1" customHeight="1" x14ac:dyDescent="0.25">
      <c r="B16" s="1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16</v>
      </c>
      <c r="H16" s="11" t="s">
        <v>17</v>
      </c>
    </row>
    <row r="17" spans="2:8" ht="24.95" customHeight="1" x14ac:dyDescent="0.25">
      <c r="B17" s="27">
        <v>2</v>
      </c>
      <c r="C17" s="28">
        <f>B17*12</f>
        <v>24</v>
      </c>
      <c r="D17" s="29">
        <f>aporte*C17</f>
        <v>7200</v>
      </c>
      <c r="E17" s="29">
        <f>FV(taxa_mensal,C17,-aporte,0,0)</f>
        <v>7810.4775220771808</v>
      </c>
      <c r="F17" s="29">
        <f>E17-D17</f>
        <v>610.47752207718077</v>
      </c>
      <c r="G17" s="29">
        <f>E17*taxa_dividendos</f>
        <v>46.862865132463085</v>
      </c>
      <c r="H17" s="29">
        <f>G17*12</f>
        <v>562.35438158955708</v>
      </c>
    </row>
    <row r="18" spans="2:8" ht="24.95" customHeight="1" x14ac:dyDescent="0.25">
      <c r="B18" s="27">
        <v>5</v>
      </c>
      <c r="C18" s="28">
        <f>B18*12</f>
        <v>60</v>
      </c>
      <c r="D18" s="29">
        <f>aporte*C18</f>
        <v>18000</v>
      </c>
      <c r="E18" s="29">
        <f>FV(taxa_mensal,C18,-aporte,0,0)</f>
        <v>22274.412285288508</v>
      </c>
      <c r="F18" s="29">
        <f>E18-D18</f>
        <v>4274.4122852885084</v>
      </c>
      <c r="G18" s="29">
        <f>E18*taxa_dividendos</f>
        <v>133.64647371173106</v>
      </c>
      <c r="H18" s="29">
        <f>G18*12</f>
        <v>1603.7576845407727</v>
      </c>
    </row>
    <row r="19" spans="2:8" ht="24.95" customHeight="1" x14ac:dyDescent="0.25">
      <c r="B19" s="27">
        <v>10</v>
      </c>
      <c r="C19" s="28">
        <f>B19*12</f>
        <v>120</v>
      </c>
      <c r="D19" s="29">
        <f>aporte*C19</f>
        <v>36000</v>
      </c>
      <c r="E19" s="29">
        <f>FV(taxa_mensal,C19,-aporte,0,0)</f>
        <v>56125.644899193947</v>
      </c>
      <c r="F19" s="29">
        <f>E19-D19</f>
        <v>20125.644899193947</v>
      </c>
      <c r="G19" s="29">
        <f>E19*taxa_dividendos</f>
        <v>336.75386939516369</v>
      </c>
      <c r="H19" s="29">
        <f>G19*12</f>
        <v>4041.0464327419641</v>
      </c>
    </row>
    <row r="20" spans="2:8" ht="24.95" customHeight="1" x14ac:dyDescent="0.25">
      <c r="B20" s="27">
        <v>20</v>
      </c>
      <c r="C20" s="28">
        <f>B20*12</f>
        <v>240</v>
      </c>
      <c r="D20" s="29">
        <f>aporte*C20</f>
        <v>72000</v>
      </c>
      <c r="E20" s="29">
        <f>FV(taxa_mensal,C20,-aporte,0,0)</f>
        <v>185753.34348989758</v>
      </c>
      <c r="F20" s="29">
        <f>E20-D20</f>
        <v>113753.34348989758</v>
      </c>
      <c r="G20" s="29">
        <f>E20*taxa_dividendos</f>
        <v>1114.5200609393855</v>
      </c>
      <c r="H20" s="29">
        <f>G20*12</f>
        <v>13374.240731272626</v>
      </c>
    </row>
    <row r="21" spans="2:8" ht="24.95" customHeight="1" x14ac:dyDescent="0.25">
      <c r="B21" s="27">
        <v>30</v>
      </c>
      <c r="C21" s="28">
        <f>B21*12</f>
        <v>360</v>
      </c>
      <c r="D21" s="29">
        <f>aporte*C21</f>
        <v>108000</v>
      </c>
      <c r="E21" s="29">
        <f>FV(taxa_mensal,C21,-aporte,0,0)</f>
        <v>485141.26628530474</v>
      </c>
      <c r="F21" s="29">
        <f>E21-D21</f>
        <v>377141.26628530474</v>
      </c>
      <c r="G21" s="29">
        <f>E21*taxa_dividendos</f>
        <v>2910.8475977118283</v>
      </c>
      <c r="H21" s="29">
        <f>G21*12</f>
        <v>34930.171172541937</v>
      </c>
    </row>
    <row r="25" spans="2:8" ht="16.5" x14ac:dyDescent="0.3">
      <c r="B25" s="14" t="s">
        <v>18</v>
      </c>
      <c r="C25" s="13"/>
      <c r="D25" s="13"/>
      <c r="E25" s="13"/>
      <c r="F25" s="13"/>
      <c r="G25" s="13"/>
      <c r="H25" s="13"/>
    </row>
    <row r="26" spans="2:8" ht="16.5" x14ac:dyDescent="0.3">
      <c r="B26" s="24" t="s">
        <v>19</v>
      </c>
      <c r="C26" s="24" t="s">
        <v>20</v>
      </c>
      <c r="D26" s="24" t="s">
        <v>21</v>
      </c>
      <c r="E26" s="15"/>
      <c r="F26" s="15"/>
      <c r="G26" s="15"/>
      <c r="H26" s="15"/>
    </row>
    <row r="27" spans="2:8" x14ac:dyDescent="0.25">
      <c r="B27" s="21" t="s">
        <v>22</v>
      </c>
      <c r="C27" s="22">
        <f>IFERROR(VLOOKUP(perfil&amp;"|"&amp;B27,Apoio!$D$3:$G$11,4,FALSE),0)</f>
        <v>0.45</v>
      </c>
      <c r="D27" s="23">
        <f>aporte*C27</f>
        <v>135</v>
      </c>
    </row>
    <row r="28" spans="2:8" x14ac:dyDescent="0.25">
      <c r="B28" s="21" t="s">
        <v>23</v>
      </c>
      <c r="C28" s="22">
        <f>IFERROR(VLOOKUP(perfil&amp;"|"&amp;B28,Apoio!$D$3:$G$11,4,FALSE),0)</f>
        <v>0.3</v>
      </c>
      <c r="D28" s="23">
        <f>aporte*C28</f>
        <v>90</v>
      </c>
    </row>
    <row r="29" spans="2:8" x14ac:dyDescent="0.25">
      <c r="B29" s="21" t="s">
        <v>24</v>
      </c>
      <c r="C29" s="22">
        <f>IFERROR(VLOOKUP(perfil&amp;"|"&amp;B29,Apoio!$D$3:$G$11,4,FALSE),0)</f>
        <v>0.25</v>
      </c>
      <c r="D29" s="23">
        <f>aporte*C29</f>
        <v>75</v>
      </c>
    </row>
    <row r="30" spans="2:8" x14ac:dyDescent="0.25">
      <c r="B30" s="25"/>
      <c r="C30" s="26"/>
      <c r="D30" s="26"/>
    </row>
  </sheetData>
  <mergeCells count="10">
    <mergeCell ref="B25:H25"/>
    <mergeCell ref="G7:H7"/>
    <mergeCell ref="E7:F7"/>
    <mergeCell ref="B4:H4"/>
    <mergeCell ref="E6:H6"/>
    <mergeCell ref="B15:H15"/>
    <mergeCell ref="B2:H3"/>
    <mergeCell ref="E8:F9"/>
    <mergeCell ref="G8:H9"/>
    <mergeCell ref="B6:C6"/>
  </mergeCells>
  <pageMargins left="0.7" right="0.7" top="0.75" bottom="0.75" header="0.3" footer="0.3"/>
  <pageSetup paperSize="9" scale="58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Perfil inválido" error="Selecione um dos perfis disponíveis." promptTitle="Perfil de investidor" prompt="Escolha Conservador, Moderado ou Arrojado." xr:uid="{00000000-0002-0000-0000-000000000000}">
          <x14:formula1>
            <xm:f>Apoio!$A$3:$A$5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>
      <pane ySplit="2" topLeftCell="A3" activePane="bottomLeft" state="frozen"/>
      <selection pane="bottomLeft" activeCell="K9" sqref="K9"/>
    </sheetView>
  </sheetViews>
  <sheetFormatPr defaultRowHeight="15" x14ac:dyDescent="0.25"/>
  <cols>
    <col min="1" max="1" width="18" customWidth="1"/>
    <col min="2" max="2" width="20" customWidth="1"/>
    <col min="3" max="3" width="15" customWidth="1"/>
    <col min="4" max="4" width="28" customWidth="1"/>
    <col min="5" max="5" width="18" customWidth="1"/>
    <col min="6" max="6" width="20" customWidth="1"/>
    <col min="7" max="7" width="15" customWidth="1"/>
  </cols>
  <sheetData>
    <row r="1" spans="1:7" ht="16.5" x14ac:dyDescent="0.3">
      <c r="A1" s="16" t="s">
        <v>25</v>
      </c>
      <c r="B1" s="17"/>
      <c r="C1" s="17"/>
      <c r="D1" s="16" t="s">
        <v>26</v>
      </c>
      <c r="E1" s="17"/>
      <c r="F1" s="17"/>
      <c r="G1" s="17"/>
    </row>
    <row r="2" spans="1:7" x14ac:dyDescent="0.25">
      <c r="A2" s="18" t="s">
        <v>27</v>
      </c>
      <c r="B2" s="18" t="s">
        <v>19</v>
      </c>
      <c r="C2" s="18" t="s">
        <v>20</v>
      </c>
      <c r="D2" s="18" t="s">
        <v>28</v>
      </c>
      <c r="E2" s="18" t="s">
        <v>27</v>
      </c>
      <c r="F2" s="18" t="s">
        <v>19</v>
      </c>
      <c r="G2" s="18" t="s">
        <v>20</v>
      </c>
    </row>
    <row r="3" spans="1:7" ht="16.5" x14ac:dyDescent="0.25">
      <c r="A3" s="19" t="s">
        <v>29</v>
      </c>
      <c r="B3" s="19" t="s">
        <v>22</v>
      </c>
      <c r="C3" s="20">
        <v>0.7</v>
      </c>
      <c r="D3" s="19" t="str">
        <f t="shared" ref="D3:D11" si="0">E3&amp;"|"&amp;F3</f>
        <v>Conservador|Renda fixa</v>
      </c>
      <c r="E3" s="19" t="s">
        <v>29</v>
      </c>
      <c r="F3" s="19" t="s">
        <v>22</v>
      </c>
      <c r="G3" s="20">
        <v>0.7</v>
      </c>
    </row>
    <row r="4" spans="1:7" ht="16.5" x14ac:dyDescent="0.25">
      <c r="A4" s="19" t="s">
        <v>29</v>
      </c>
      <c r="B4" s="19" t="s">
        <v>23</v>
      </c>
      <c r="C4" s="20">
        <v>0.2</v>
      </c>
      <c r="D4" s="19" t="str">
        <f t="shared" si="0"/>
        <v>Conservador|FIIs</v>
      </c>
      <c r="E4" s="19" t="s">
        <v>29</v>
      </c>
      <c r="F4" s="19" t="s">
        <v>23</v>
      </c>
      <c r="G4" s="20">
        <v>0.2</v>
      </c>
    </row>
    <row r="5" spans="1:7" ht="16.5" x14ac:dyDescent="0.25">
      <c r="A5" s="19" t="s">
        <v>29</v>
      </c>
      <c r="B5" s="19" t="s">
        <v>24</v>
      </c>
      <c r="C5" s="20">
        <v>0.1</v>
      </c>
      <c r="D5" s="19" t="str">
        <f t="shared" si="0"/>
        <v>Conservador|Ações/ETFs</v>
      </c>
      <c r="E5" s="19" t="s">
        <v>29</v>
      </c>
      <c r="F5" s="19" t="s">
        <v>24</v>
      </c>
      <c r="G5" s="20">
        <v>0.1</v>
      </c>
    </row>
    <row r="6" spans="1:7" ht="16.5" x14ac:dyDescent="0.25">
      <c r="A6" s="19" t="s">
        <v>9</v>
      </c>
      <c r="B6" s="19" t="s">
        <v>22</v>
      </c>
      <c r="C6" s="20">
        <v>0.45</v>
      </c>
      <c r="D6" s="19" t="str">
        <f t="shared" si="0"/>
        <v>Moderado|Renda fixa</v>
      </c>
      <c r="E6" s="19" t="s">
        <v>9</v>
      </c>
      <c r="F6" s="19" t="s">
        <v>22</v>
      </c>
      <c r="G6" s="20">
        <v>0.45</v>
      </c>
    </row>
    <row r="7" spans="1:7" ht="16.5" x14ac:dyDescent="0.25">
      <c r="A7" s="19" t="s">
        <v>9</v>
      </c>
      <c r="B7" s="19" t="s">
        <v>23</v>
      </c>
      <c r="C7" s="20">
        <v>0.3</v>
      </c>
      <c r="D7" s="19" t="str">
        <f t="shared" si="0"/>
        <v>Moderado|FIIs</v>
      </c>
      <c r="E7" s="19" t="s">
        <v>9</v>
      </c>
      <c r="F7" s="19" t="s">
        <v>23</v>
      </c>
      <c r="G7" s="20">
        <v>0.3</v>
      </c>
    </row>
    <row r="8" spans="1:7" ht="16.5" x14ac:dyDescent="0.25">
      <c r="A8" s="19" t="s">
        <v>9</v>
      </c>
      <c r="B8" s="19" t="s">
        <v>24</v>
      </c>
      <c r="C8" s="20">
        <v>0.25</v>
      </c>
      <c r="D8" s="19" t="str">
        <f t="shared" si="0"/>
        <v>Moderado|Ações/ETFs</v>
      </c>
      <c r="E8" s="19" t="s">
        <v>9</v>
      </c>
      <c r="F8" s="19" t="s">
        <v>24</v>
      </c>
      <c r="G8" s="20">
        <v>0.25</v>
      </c>
    </row>
    <row r="9" spans="1:7" ht="16.5" x14ac:dyDescent="0.25">
      <c r="A9" s="19" t="s">
        <v>30</v>
      </c>
      <c r="B9" s="19" t="s">
        <v>22</v>
      </c>
      <c r="C9" s="20">
        <v>0.2</v>
      </c>
      <c r="D9" s="19" t="str">
        <f t="shared" si="0"/>
        <v>Arrojado|Renda fixa</v>
      </c>
      <c r="E9" s="19" t="s">
        <v>30</v>
      </c>
      <c r="F9" s="19" t="s">
        <v>22</v>
      </c>
      <c r="G9" s="20">
        <v>0.2</v>
      </c>
    </row>
    <row r="10" spans="1:7" ht="16.5" x14ac:dyDescent="0.25">
      <c r="A10" s="19" t="s">
        <v>30</v>
      </c>
      <c r="B10" s="19" t="s">
        <v>23</v>
      </c>
      <c r="C10" s="20">
        <v>0.3</v>
      </c>
      <c r="D10" s="19" t="str">
        <f t="shared" si="0"/>
        <v>Arrojado|FIIs</v>
      </c>
      <c r="E10" s="19" t="s">
        <v>30</v>
      </c>
      <c r="F10" s="19" t="s">
        <v>23</v>
      </c>
      <c r="G10" s="20">
        <v>0.3</v>
      </c>
    </row>
    <row r="11" spans="1:7" ht="16.5" x14ac:dyDescent="0.25">
      <c r="A11" s="19" t="s">
        <v>30</v>
      </c>
      <c r="B11" s="19" t="s">
        <v>24</v>
      </c>
      <c r="C11" s="20">
        <v>0.5</v>
      </c>
      <c r="D11" s="19" t="str">
        <f t="shared" si="0"/>
        <v>Arrojado|Ações/ETFs</v>
      </c>
      <c r="E11" s="19" t="s">
        <v>30</v>
      </c>
      <c r="F11" s="19" t="s">
        <v>24</v>
      </c>
      <c r="G11" s="20">
        <v>0.5</v>
      </c>
    </row>
    <row r="12" spans="1:7" x14ac:dyDescent="0.25">
      <c r="A12" s="6"/>
      <c r="B12" s="6"/>
      <c r="C12" s="6"/>
      <c r="D12" s="6"/>
      <c r="E12" s="6"/>
      <c r="F12" s="6"/>
      <c r="G12" s="6"/>
    </row>
    <row r="14" spans="1:7" x14ac:dyDescent="0.25">
      <c r="A14" s="1"/>
    </row>
    <row r="15" spans="1:7" x14ac:dyDescent="0.25">
      <c r="A15" s="5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</sheetData>
  <mergeCells count="3">
    <mergeCell ref="A1:C1"/>
    <mergeCell ref="D1:G1"/>
    <mergeCell ref="A15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Painel</vt:lpstr>
      <vt:lpstr>Apoio</vt:lpstr>
      <vt:lpstr>aporte</vt:lpstr>
      <vt:lpstr>percentual_aporte</vt:lpstr>
      <vt:lpstr>perfil</vt:lpstr>
      <vt:lpstr>salario</vt:lpstr>
      <vt:lpstr>taxa_dividendos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Perez</cp:lastModifiedBy>
  <dcterms:created xsi:type="dcterms:W3CDTF">2026-10-17T15:56:09Z</dcterms:created>
  <dcterms:modified xsi:type="dcterms:W3CDTF">2026-10-18T19:18:49Z</dcterms:modified>
</cp:coreProperties>
</file>